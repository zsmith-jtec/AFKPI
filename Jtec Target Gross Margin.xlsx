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ecadmin-my.sharepoint.com/personal/aforinash_jtecindustries_com/Documents/Documents/"/>
    </mc:Choice>
  </mc:AlternateContent>
  <xr:revisionPtr revIDLastSave="0" documentId="8_{2300D0FA-30DE-4E37-86FD-C1BD6738A700}" xr6:coauthVersionLast="47" xr6:coauthVersionMax="47" xr10:uidLastSave="{00000000-0000-0000-0000-000000000000}"/>
  <bookViews>
    <workbookView xWindow="-120" yWindow="-120" windowWidth="29040" windowHeight="15720" xr2:uid="{CA2C524E-3C57-4609-AD4C-4FF6748AD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" i="1" l="1"/>
  <c r="G139" i="1"/>
  <c r="G138" i="1"/>
  <c r="G137" i="1"/>
  <c r="G136" i="1"/>
  <c r="G135" i="1"/>
  <c r="G134" i="1"/>
  <c r="G133" i="1"/>
  <c r="G132" i="1"/>
  <c r="G131" i="1"/>
  <c r="G127" i="1"/>
  <c r="G126" i="1"/>
  <c r="G125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4" i="1"/>
  <c r="G73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<sst xmlns="http://schemas.openxmlformats.org/spreadsheetml/2006/main" count="270" uniqueCount="109">
  <si>
    <t>Product Line</t>
  </si>
  <si>
    <t>Product Group</t>
  </si>
  <si>
    <t>Category</t>
  </si>
  <si>
    <t>Jtec US Margin</t>
  </si>
  <si>
    <t>Margin</t>
  </si>
  <si>
    <t>IPS</t>
  </si>
  <si>
    <t>CarryLite</t>
  </si>
  <si>
    <t>AMR Straddle Cart</t>
  </si>
  <si>
    <t>AMR Pull Cart</t>
  </si>
  <si>
    <t>x</t>
  </si>
  <si>
    <t>Custom Cart</t>
  </si>
  <si>
    <t>Drum Cart</t>
  </si>
  <si>
    <t>Full Deck Cart</t>
  </si>
  <si>
    <t>X</t>
  </si>
  <si>
    <t>Kit Cart</t>
  </si>
  <si>
    <t>Lift Deck Cart</t>
  </si>
  <si>
    <t>Low Deck Cart</t>
  </si>
  <si>
    <t>Open Deck Cart</t>
  </si>
  <si>
    <t>Push Cart</t>
  </si>
  <si>
    <t>Roller Deck Cart</t>
  </si>
  <si>
    <t>Shelf Cart</t>
  </si>
  <si>
    <t>Tilt Down Cart</t>
  </si>
  <si>
    <t>Turntable Cart</t>
  </si>
  <si>
    <t>CarryMax</t>
  </si>
  <si>
    <t>Lift Table</t>
  </si>
  <si>
    <t>CarryMore</t>
  </si>
  <si>
    <t>Flatbed Rider Cart</t>
  </si>
  <si>
    <t>Lift Cart</t>
  </si>
  <si>
    <t>Mother Cart Non Powered</t>
  </si>
  <si>
    <t>Mother Cart Powered</t>
  </si>
  <si>
    <t>Over Under Cart</t>
  </si>
  <si>
    <t>Refuse Hopper</t>
  </si>
  <si>
    <t>Tilt Up Cart</t>
  </si>
  <si>
    <t>APS</t>
  </si>
  <si>
    <t>CarryMatic</t>
  </si>
  <si>
    <t>Controls</t>
  </si>
  <si>
    <t>LiftBot</t>
  </si>
  <si>
    <t>MoveBot</t>
  </si>
  <si>
    <t>P&amp;D Stand (Stays here also due to smart functionality)</t>
  </si>
  <si>
    <t>Powered Roller Attachment</t>
  </si>
  <si>
    <t>Powered Transfer Cart</t>
  </si>
  <si>
    <t>Scissor Lift Attachment</t>
  </si>
  <si>
    <t>Scissor Lift Power Roller Attachment</t>
  </si>
  <si>
    <t>ScrubBot</t>
  </si>
  <si>
    <t>Service Contract</t>
  </si>
  <si>
    <t>Shuttle Attachment</t>
  </si>
  <si>
    <t>SpiderBot</t>
  </si>
  <si>
    <t>Station - Gravity</t>
  </si>
  <si>
    <t xml:space="preserve">Station - Powered </t>
  </si>
  <si>
    <t>SweepBot</t>
  </si>
  <si>
    <t>System</t>
  </si>
  <si>
    <t>Blended</t>
  </si>
  <si>
    <t>Tilt Table</t>
  </si>
  <si>
    <t>TugBot</t>
  </si>
  <si>
    <t>Mobile Hoist</t>
  </si>
  <si>
    <t>GuardBot</t>
  </si>
  <si>
    <t>General</t>
  </si>
  <si>
    <t>Misc Finished Goods</t>
  </si>
  <si>
    <t>Casters</t>
  </si>
  <si>
    <t>WPS</t>
  </si>
  <si>
    <t>Warehouse Product Manufactured</t>
  </si>
  <si>
    <t>Conveyor - Gravity</t>
  </si>
  <si>
    <t>Conveyor - Powered</t>
  </si>
  <si>
    <t>Cranes</t>
  </si>
  <si>
    <t>Docking Targets</t>
  </si>
  <si>
    <t>Flow Racks - Steel</t>
  </si>
  <si>
    <t>Guard Rails - Steel</t>
  </si>
  <si>
    <t>Hoist</t>
  </si>
  <si>
    <t xml:space="preserve">Hose Rack </t>
  </si>
  <si>
    <t xml:space="preserve">Lift &amp; Tilt Table </t>
  </si>
  <si>
    <t xml:space="preserve">Lift Turntable </t>
  </si>
  <si>
    <t>MoveMore</t>
  </si>
  <si>
    <t>Order Picker Attachment</t>
  </si>
  <si>
    <t>P&amp;D Stand</t>
  </si>
  <si>
    <t>Pack Tables</t>
  </si>
  <si>
    <t>Pallet Slider</t>
  </si>
  <si>
    <t>Returnable Rack</t>
  </si>
  <si>
    <t>Tub Stacker</t>
  </si>
  <si>
    <t>Tube &amp; Joint</t>
  </si>
  <si>
    <t>Weld Products - Backlines</t>
  </si>
  <si>
    <t>Weld Products - Booms</t>
  </si>
  <si>
    <t>Weld Products - Cobot</t>
  </si>
  <si>
    <t>Workstations</t>
  </si>
  <si>
    <t>Warehouse Product Distributed</t>
  </si>
  <si>
    <t>Containers - Bulk Knockdown</t>
  </si>
  <si>
    <t>Containers - Corrugated Steel</t>
  </si>
  <si>
    <t>Containers - Wire</t>
  </si>
  <si>
    <t>Hoists</t>
  </si>
  <si>
    <t xml:space="preserve">Industrial Fans </t>
  </si>
  <si>
    <t xml:space="preserve">Master Mover Equipment </t>
  </si>
  <si>
    <t>Modula Vertical Lift Module</t>
  </si>
  <si>
    <t>Projectors</t>
  </si>
  <si>
    <t>Racking</t>
  </si>
  <si>
    <t>Safety Barriers</t>
  </si>
  <si>
    <t>Stretch Wrapping Machine</t>
  </si>
  <si>
    <t>Totes</t>
  </si>
  <si>
    <t>Equipment</t>
  </si>
  <si>
    <t xml:space="preserve">Big Joe Class 1 Equipment </t>
  </si>
  <si>
    <t xml:space="preserve">Big Joe Class 3 Equipment </t>
  </si>
  <si>
    <t>Server Rack Movers</t>
  </si>
  <si>
    <t>Server Rack Autonomous Mover</t>
  </si>
  <si>
    <t>Server Rack Cart - Dual Bay</t>
  </si>
  <si>
    <t>Server Rack Cart - Single Bay</t>
  </si>
  <si>
    <t>Server Rack Shuttle Mover</t>
  </si>
  <si>
    <t>Server Rack Manual Mover</t>
  </si>
  <si>
    <t>Server Rack Pallet Mover</t>
  </si>
  <si>
    <t>Server Rack Powered Mover</t>
  </si>
  <si>
    <t>Server Racks</t>
  </si>
  <si>
    <t>Jtec US Mark Up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</si>
</sst>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9" fontId="0" fillId="2" borderId="0" xfId="1" applyFont="1" applyFill="1" applyAlignment="1">
      <alignment horizontal="center"/>
    </xf>
    <xf numFmtId="10" fontId="0" fillId="0" borderId="0" xfId="0" applyNumberFormat="1"/>
    <xf numFmtId="0" fontId="0" fillId="3" borderId="0" xfId="0" applyFill="1"/>
    <xf numFmtId="9" fontId="0" fillId="3" borderId="0" xfId="1" applyFont="1" applyFill="1" applyAlignment="1">
      <alignment horizontal="center"/>
    </xf>
    <xf numFmtId="10" fontId="0" fillId="0" borderId="0" xfId="0" applyNumberFormat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0" fillId="4" borderId="0" xfId="0" applyFill="1"/>
    <xf numFmtId="0" fontId="2" fillId="0" borderId="0" xfId="0" applyFont="1"/>
    <xf numFmtId="0" fontId="3" fillId="0" borderId="0" xfId="0" applyFont="1"/>
    <xf numFmtId="0" fontId="3" fillId="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BC62-6EAB-453B-8D58-3A402793C60A}">
  <dimension ref="A1:G142"/>
  <sheetViews>
    <sheetView tabSelected="1" workbookViewId="0">
      <selection activeCell="I10" sqref="I10"/>
    </sheetView>
  </sheetViews>
  <sheetFormatPr defaultRowHeight="15" x14ac:dyDescent="0.25"/>
  <cols>
    <col min="7" max="7" width="16.140625" customWidth="1"/>
  </cols>
  <sheetData>
    <row r="1" spans="1:7" x14ac:dyDescent="0.25">
      <c r="A1" t="s">
        <v>0</v>
      </c>
      <c r="B1" t="s">
        <v>1</v>
      </c>
      <c r="D1" t="s">
        <v>2</v>
      </c>
      <c r="F1" s="1" t="s">
        <v>3</v>
      </c>
      <c r="G1" s="1" t="s">
        <v>108</v>
      </c>
    </row>
    <row r="2" spans="1:7" x14ac:dyDescent="0.25">
      <c r="F2" s="2" t="s">
        <v>4</v>
      </c>
      <c r="G2" s="2" t="s">
        <v>4</v>
      </c>
    </row>
    <row r="3" spans="1:7" x14ac:dyDescent="0.25">
      <c r="A3" t="s">
        <v>5</v>
      </c>
      <c r="C3" t="s">
        <v>6</v>
      </c>
      <c r="F3" s="3"/>
      <c r="G3" s="3"/>
    </row>
    <row r="4" spans="1:7" x14ac:dyDescent="0.25">
      <c r="C4" s="4"/>
      <c r="D4" s="5" t="s">
        <v>7</v>
      </c>
      <c r="F4" s="6">
        <v>0.25</v>
      </c>
      <c r="G4" s="7">
        <f t="shared" ref="G4:G17" si="0">1/(1-F4)-1</f>
        <v>0.33333333333333326</v>
      </c>
    </row>
    <row r="5" spans="1:7" x14ac:dyDescent="0.25">
      <c r="C5" s="4"/>
      <c r="D5" s="8" t="s">
        <v>8</v>
      </c>
      <c r="F5" s="9">
        <v>0.25</v>
      </c>
      <c r="G5" s="7">
        <f t="shared" si="0"/>
        <v>0.33333333333333326</v>
      </c>
    </row>
    <row r="6" spans="1:7" x14ac:dyDescent="0.25">
      <c r="C6" s="4" t="s">
        <v>9</v>
      </c>
      <c r="D6" t="s">
        <v>10</v>
      </c>
      <c r="F6" s="6">
        <v>0.25</v>
      </c>
      <c r="G6" s="7">
        <f t="shared" si="0"/>
        <v>0.33333333333333326</v>
      </c>
    </row>
    <row r="7" spans="1:7" x14ac:dyDescent="0.25">
      <c r="C7" s="4" t="s">
        <v>9</v>
      </c>
      <c r="D7" t="s">
        <v>11</v>
      </c>
      <c r="F7" s="6">
        <v>0.25</v>
      </c>
      <c r="G7" s="7">
        <f t="shared" si="0"/>
        <v>0.33333333333333326</v>
      </c>
    </row>
    <row r="8" spans="1:7" x14ac:dyDescent="0.25">
      <c r="C8" s="4" t="s">
        <v>9</v>
      </c>
      <c r="D8" t="s">
        <v>12</v>
      </c>
      <c r="E8" t="s">
        <v>13</v>
      </c>
      <c r="F8" s="6">
        <v>0.25</v>
      </c>
      <c r="G8" s="7">
        <f t="shared" si="0"/>
        <v>0.33333333333333326</v>
      </c>
    </row>
    <row r="9" spans="1:7" x14ac:dyDescent="0.25">
      <c r="C9" s="4" t="s">
        <v>9</v>
      </c>
      <c r="D9" t="s">
        <v>14</v>
      </c>
      <c r="F9" s="6">
        <v>0.25</v>
      </c>
      <c r="G9" s="7">
        <f t="shared" si="0"/>
        <v>0.33333333333333326</v>
      </c>
    </row>
    <row r="10" spans="1:7" x14ac:dyDescent="0.25">
      <c r="C10" s="4" t="s">
        <v>9</v>
      </c>
      <c r="D10" t="s">
        <v>15</v>
      </c>
      <c r="F10" s="6">
        <v>0.25</v>
      </c>
      <c r="G10" s="7">
        <f t="shared" si="0"/>
        <v>0.33333333333333326</v>
      </c>
    </row>
    <row r="11" spans="1:7" x14ac:dyDescent="0.25">
      <c r="C11" s="4" t="s">
        <v>9</v>
      </c>
      <c r="D11" t="s">
        <v>16</v>
      </c>
      <c r="F11" s="6">
        <v>0.25</v>
      </c>
      <c r="G11" s="7">
        <f t="shared" si="0"/>
        <v>0.33333333333333326</v>
      </c>
    </row>
    <row r="12" spans="1:7" x14ac:dyDescent="0.25">
      <c r="C12" s="4" t="s">
        <v>9</v>
      </c>
      <c r="D12" t="s">
        <v>17</v>
      </c>
      <c r="F12" s="6">
        <v>0.25</v>
      </c>
      <c r="G12" s="7">
        <f t="shared" si="0"/>
        <v>0.33333333333333326</v>
      </c>
    </row>
    <row r="13" spans="1:7" x14ac:dyDescent="0.25">
      <c r="C13" s="4" t="s">
        <v>9</v>
      </c>
      <c r="D13" t="s">
        <v>18</v>
      </c>
      <c r="F13" s="6">
        <v>0.25</v>
      </c>
      <c r="G13" s="7">
        <f t="shared" si="0"/>
        <v>0.33333333333333326</v>
      </c>
    </row>
    <row r="14" spans="1:7" x14ac:dyDescent="0.25">
      <c r="C14" s="4" t="s">
        <v>9</v>
      </c>
      <c r="D14" t="s">
        <v>19</v>
      </c>
      <c r="F14" s="6">
        <v>0.25</v>
      </c>
      <c r="G14" s="7">
        <f t="shared" si="0"/>
        <v>0.33333333333333326</v>
      </c>
    </row>
    <row r="15" spans="1:7" x14ac:dyDescent="0.25">
      <c r="C15" s="4" t="s">
        <v>9</v>
      </c>
      <c r="D15" t="s">
        <v>20</v>
      </c>
      <c r="F15" s="6">
        <v>0.25</v>
      </c>
      <c r="G15" s="7">
        <f t="shared" si="0"/>
        <v>0.33333333333333326</v>
      </c>
    </row>
    <row r="16" spans="1:7" x14ac:dyDescent="0.25">
      <c r="C16" s="4" t="s">
        <v>9</v>
      </c>
      <c r="D16" t="s">
        <v>21</v>
      </c>
      <c r="F16" s="6">
        <v>0.25</v>
      </c>
      <c r="G16" s="7">
        <f t="shared" si="0"/>
        <v>0.33333333333333326</v>
      </c>
    </row>
    <row r="17" spans="1:7" x14ac:dyDescent="0.25">
      <c r="C17" s="4" t="s">
        <v>9</v>
      </c>
      <c r="D17" t="s">
        <v>22</v>
      </c>
      <c r="F17" s="6">
        <v>0.25</v>
      </c>
      <c r="G17" s="7">
        <f t="shared" si="0"/>
        <v>0.33333333333333326</v>
      </c>
    </row>
    <row r="18" spans="1:7" x14ac:dyDescent="0.25">
      <c r="F18" s="3"/>
      <c r="G18" s="10"/>
    </row>
    <row r="19" spans="1:7" x14ac:dyDescent="0.25">
      <c r="A19" t="s">
        <v>5</v>
      </c>
      <c r="C19" t="s">
        <v>23</v>
      </c>
      <c r="F19" s="3"/>
      <c r="G19" s="10"/>
    </row>
    <row r="20" spans="1:7" x14ac:dyDescent="0.25">
      <c r="C20" s="4"/>
      <c r="D20" s="5" t="s">
        <v>7</v>
      </c>
      <c r="F20" s="6">
        <v>0.25</v>
      </c>
      <c r="G20" s="7">
        <f t="shared" ref="G20:G32" si="1">1/(1-F20)-1</f>
        <v>0.33333333333333326</v>
      </c>
    </row>
    <row r="21" spans="1:7" x14ac:dyDescent="0.25">
      <c r="C21" s="4"/>
      <c r="D21" s="8" t="s">
        <v>8</v>
      </c>
      <c r="F21" s="9">
        <v>0.25</v>
      </c>
      <c r="G21" s="7">
        <f t="shared" si="1"/>
        <v>0.33333333333333326</v>
      </c>
    </row>
    <row r="22" spans="1:7" x14ac:dyDescent="0.25">
      <c r="C22" s="4" t="s">
        <v>9</v>
      </c>
      <c r="D22" t="s">
        <v>10</v>
      </c>
      <c r="F22" s="6">
        <v>0.25</v>
      </c>
      <c r="G22" s="7">
        <f t="shared" si="1"/>
        <v>0.33333333333333326</v>
      </c>
    </row>
    <row r="23" spans="1:7" x14ac:dyDescent="0.25">
      <c r="C23" s="4" t="s">
        <v>9</v>
      </c>
      <c r="D23" t="s">
        <v>11</v>
      </c>
      <c r="F23" s="6">
        <v>0.25</v>
      </c>
      <c r="G23" s="7">
        <f t="shared" si="1"/>
        <v>0.33333333333333326</v>
      </c>
    </row>
    <row r="24" spans="1:7" x14ac:dyDescent="0.25">
      <c r="C24" s="4" t="s">
        <v>9</v>
      </c>
      <c r="D24" t="s">
        <v>12</v>
      </c>
      <c r="F24" s="6">
        <v>0.25</v>
      </c>
      <c r="G24" s="7">
        <f t="shared" si="1"/>
        <v>0.33333333333333326</v>
      </c>
    </row>
    <row r="25" spans="1:7" x14ac:dyDescent="0.25">
      <c r="C25" s="4" t="s">
        <v>9</v>
      </c>
      <c r="D25" t="s">
        <v>14</v>
      </c>
      <c r="F25" s="6">
        <v>0.25</v>
      </c>
      <c r="G25" s="7">
        <f t="shared" si="1"/>
        <v>0.33333333333333326</v>
      </c>
    </row>
    <row r="26" spans="1:7" x14ac:dyDescent="0.25">
      <c r="C26" s="4" t="s">
        <v>9</v>
      </c>
      <c r="D26" t="s">
        <v>24</v>
      </c>
      <c r="F26" s="6">
        <v>0.25</v>
      </c>
      <c r="G26" s="7">
        <f t="shared" si="1"/>
        <v>0.33333333333333326</v>
      </c>
    </row>
    <row r="27" spans="1:7" x14ac:dyDescent="0.25">
      <c r="C27" s="4" t="s">
        <v>9</v>
      </c>
      <c r="D27" t="s">
        <v>17</v>
      </c>
      <c r="F27" s="6">
        <v>0.25</v>
      </c>
      <c r="G27" s="7">
        <f t="shared" si="1"/>
        <v>0.33333333333333326</v>
      </c>
    </row>
    <row r="28" spans="1:7" x14ac:dyDescent="0.25">
      <c r="C28" s="4" t="s">
        <v>9</v>
      </c>
      <c r="D28" t="s">
        <v>18</v>
      </c>
      <c r="F28" s="6">
        <v>0.25</v>
      </c>
      <c r="G28" s="7">
        <f t="shared" si="1"/>
        <v>0.33333333333333326</v>
      </c>
    </row>
    <row r="29" spans="1:7" x14ac:dyDescent="0.25">
      <c r="C29" s="4" t="s">
        <v>9</v>
      </c>
      <c r="D29" t="s">
        <v>19</v>
      </c>
      <c r="F29" s="6">
        <v>0.25</v>
      </c>
      <c r="G29" s="7">
        <f t="shared" si="1"/>
        <v>0.33333333333333326</v>
      </c>
    </row>
    <row r="30" spans="1:7" x14ac:dyDescent="0.25">
      <c r="C30" s="4" t="s">
        <v>9</v>
      </c>
      <c r="D30" t="s">
        <v>20</v>
      </c>
      <c r="F30" s="6">
        <v>0.25</v>
      </c>
      <c r="G30" s="7">
        <f t="shared" si="1"/>
        <v>0.33333333333333326</v>
      </c>
    </row>
    <row r="31" spans="1:7" x14ac:dyDescent="0.25">
      <c r="C31" s="4" t="s">
        <v>9</v>
      </c>
      <c r="D31" t="s">
        <v>21</v>
      </c>
      <c r="F31" s="6">
        <v>0.25</v>
      </c>
      <c r="G31" s="7">
        <f t="shared" si="1"/>
        <v>0.33333333333333326</v>
      </c>
    </row>
    <row r="32" spans="1:7" x14ac:dyDescent="0.25">
      <c r="C32" s="4" t="s">
        <v>9</v>
      </c>
      <c r="D32" t="s">
        <v>22</v>
      </c>
      <c r="F32" s="6">
        <v>0.25</v>
      </c>
      <c r="G32" s="7">
        <f t="shared" si="1"/>
        <v>0.33333333333333326</v>
      </c>
    </row>
    <row r="33" spans="1:7" x14ac:dyDescent="0.25">
      <c r="F33" s="3"/>
      <c r="G33" s="10"/>
    </row>
    <row r="34" spans="1:7" x14ac:dyDescent="0.25">
      <c r="A34" t="s">
        <v>5</v>
      </c>
      <c r="C34" t="s">
        <v>25</v>
      </c>
      <c r="F34" s="3"/>
      <c r="G34" s="10"/>
    </row>
    <row r="35" spans="1:7" x14ac:dyDescent="0.25">
      <c r="C35" s="4" t="s">
        <v>9</v>
      </c>
      <c r="D35" t="s">
        <v>10</v>
      </c>
      <c r="F35" s="6">
        <v>0.3</v>
      </c>
      <c r="G35" s="7">
        <f t="shared" ref="G35:G49" si="2">1/(1-F35)-1</f>
        <v>0.4285714285714286</v>
      </c>
    </row>
    <row r="36" spans="1:7" x14ac:dyDescent="0.25">
      <c r="C36" s="4" t="s">
        <v>9</v>
      </c>
      <c r="D36" t="s">
        <v>11</v>
      </c>
      <c r="F36" s="6">
        <v>0.3</v>
      </c>
      <c r="G36" s="7">
        <f t="shared" si="2"/>
        <v>0.4285714285714286</v>
      </c>
    </row>
    <row r="37" spans="1:7" x14ac:dyDescent="0.25">
      <c r="C37" s="4" t="s">
        <v>9</v>
      </c>
      <c r="D37" t="s">
        <v>26</v>
      </c>
      <c r="F37" s="6">
        <v>0.3</v>
      </c>
      <c r="G37" s="7">
        <f t="shared" si="2"/>
        <v>0.4285714285714286</v>
      </c>
    </row>
    <row r="38" spans="1:7" x14ac:dyDescent="0.25">
      <c r="C38" s="4" t="s">
        <v>9</v>
      </c>
      <c r="D38" t="s">
        <v>14</v>
      </c>
      <c r="F38" s="6">
        <v>0.3</v>
      </c>
      <c r="G38" s="7">
        <f t="shared" si="2"/>
        <v>0.4285714285714286</v>
      </c>
    </row>
    <row r="39" spans="1:7" x14ac:dyDescent="0.25">
      <c r="C39" s="4" t="s">
        <v>9</v>
      </c>
      <c r="D39" t="s">
        <v>27</v>
      </c>
      <c r="F39" s="6">
        <v>0.3</v>
      </c>
      <c r="G39" s="7">
        <f t="shared" si="2"/>
        <v>0.4285714285714286</v>
      </c>
    </row>
    <row r="40" spans="1:7" x14ac:dyDescent="0.25">
      <c r="C40" s="4" t="s">
        <v>9</v>
      </c>
      <c r="D40" t="s">
        <v>28</v>
      </c>
      <c r="F40" s="6">
        <v>0.35</v>
      </c>
      <c r="G40" s="7">
        <f t="shared" si="2"/>
        <v>0.53846153846153832</v>
      </c>
    </row>
    <row r="41" spans="1:7" x14ac:dyDescent="0.25">
      <c r="C41" s="4" t="s">
        <v>9</v>
      </c>
      <c r="D41" t="s">
        <v>29</v>
      </c>
      <c r="F41" s="6">
        <v>0.35</v>
      </c>
      <c r="G41" s="7">
        <f t="shared" si="2"/>
        <v>0.53846153846153832</v>
      </c>
    </row>
    <row r="42" spans="1:7" x14ac:dyDescent="0.25">
      <c r="C42" s="4" t="s">
        <v>9</v>
      </c>
      <c r="D42" t="s">
        <v>17</v>
      </c>
      <c r="F42" s="6">
        <v>0.3</v>
      </c>
      <c r="G42" s="7">
        <f t="shared" si="2"/>
        <v>0.4285714285714286</v>
      </c>
    </row>
    <row r="43" spans="1:7" x14ac:dyDescent="0.25">
      <c r="C43" s="4" t="s">
        <v>9</v>
      </c>
      <c r="D43" t="s">
        <v>30</v>
      </c>
      <c r="F43" s="6">
        <v>0.3</v>
      </c>
      <c r="G43" s="7">
        <f t="shared" si="2"/>
        <v>0.4285714285714286</v>
      </c>
    </row>
    <row r="44" spans="1:7" x14ac:dyDescent="0.25">
      <c r="C44" s="4" t="s">
        <v>9</v>
      </c>
      <c r="D44" t="s">
        <v>31</v>
      </c>
      <c r="F44" s="6">
        <v>0.3</v>
      </c>
      <c r="G44" s="7">
        <f t="shared" si="2"/>
        <v>0.4285714285714286</v>
      </c>
    </row>
    <row r="45" spans="1:7" x14ac:dyDescent="0.25">
      <c r="C45" s="4" t="s">
        <v>9</v>
      </c>
      <c r="D45" t="s">
        <v>19</v>
      </c>
      <c r="F45" s="6">
        <v>0.3</v>
      </c>
      <c r="G45" s="7">
        <f t="shared" si="2"/>
        <v>0.4285714285714286</v>
      </c>
    </row>
    <row r="46" spans="1:7" x14ac:dyDescent="0.25">
      <c r="C46" s="4" t="s">
        <v>9</v>
      </c>
      <c r="D46" t="s">
        <v>20</v>
      </c>
      <c r="F46" s="6">
        <v>0.3</v>
      </c>
      <c r="G46" s="7">
        <f t="shared" si="2"/>
        <v>0.4285714285714286</v>
      </c>
    </row>
    <row r="47" spans="1:7" x14ac:dyDescent="0.25">
      <c r="C47" s="4" t="s">
        <v>9</v>
      </c>
      <c r="D47" t="s">
        <v>21</v>
      </c>
      <c r="F47" s="6">
        <v>0.3</v>
      </c>
      <c r="G47" s="7">
        <f t="shared" si="2"/>
        <v>0.4285714285714286</v>
      </c>
    </row>
    <row r="48" spans="1:7" x14ac:dyDescent="0.25">
      <c r="C48" s="4" t="s">
        <v>9</v>
      </c>
      <c r="D48" t="s">
        <v>32</v>
      </c>
      <c r="F48" s="6">
        <v>0.3</v>
      </c>
      <c r="G48" s="7">
        <f t="shared" si="2"/>
        <v>0.4285714285714286</v>
      </c>
    </row>
    <row r="49" spans="1:7" x14ac:dyDescent="0.25">
      <c r="C49" s="4" t="s">
        <v>9</v>
      </c>
      <c r="D49" t="s">
        <v>22</v>
      </c>
      <c r="F49" s="6">
        <v>0.3</v>
      </c>
      <c r="G49" s="7">
        <f t="shared" si="2"/>
        <v>0.4285714285714286</v>
      </c>
    </row>
    <row r="50" spans="1:7" x14ac:dyDescent="0.25">
      <c r="F50" s="3"/>
      <c r="G50" s="10"/>
    </row>
    <row r="51" spans="1:7" x14ac:dyDescent="0.25">
      <c r="A51" t="s">
        <v>33</v>
      </c>
      <c r="C51" t="s">
        <v>34</v>
      </c>
      <c r="F51" s="3"/>
      <c r="G51" s="10"/>
    </row>
    <row r="52" spans="1:7" x14ac:dyDescent="0.25">
      <c r="C52" s="4" t="s">
        <v>9</v>
      </c>
      <c r="D52" t="s">
        <v>35</v>
      </c>
      <c r="F52" s="11">
        <v>0.36499999999999999</v>
      </c>
      <c r="G52" s="7">
        <f t="shared" ref="G52:G69" si="3">1/(1-F52)-1</f>
        <v>0.57480314960629908</v>
      </c>
    </row>
    <row r="53" spans="1:7" x14ac:dyDescent="0.25">
      <c r="C53" s="4" t="s">
        <v>9</v>
      </c>
      <c r="D53" t="s">
        <v>36</v>
      </c>
      <c r="F53" s="6">
        <v>0.35</v>
      </c>
      <c r="G53" s="7">
        <f t="shared" si="3"/>
        <v>0.53846153846153832</v>
      </c>
    </row>
    <row r="54" spans="1:7" x14ac:dyDescent="0.25">
      <c r="C54" s="4" t="s">
        <v>9</v>
      </c>
      <c r="D54" t="s">
        <v>37</v>
      </c>
      <c r="F54" s="6">
        <v>0.35</v>
      </c>
      <c r="G54" s="7">
        <f t="shared" si="3"/>
        <v>0.53846153846153832</v>
      </c>
    </row>
    <row r="55" spans="1:7" x14ac:dyDescent="0.25">
      <c r="C55" s="4" t="s">
        <v>9</v>
      </c>
      <c r="D55" t="s">
        <v>38</v>
      </c>
      <c r="F55" s="6">
        <v>0.25</v>
      </c>
      <c r="G55" s="7">
        <f t="shared" si="3"/>
        <v>0.33333333333333326</v>
      </c>
    </row>
    <row r="56" spans="1:7" x14ac:dyDescent="0.25">
      <c r="C56" s="4" t="s">
        <v>9</v>
      </c>
      <c r="D56" t="s">
        <v>39</v>
      </c>
      <c r="F56" s="6">
        <v>0.35</v>
      </c>
      <c r="G56" s="7">
        <f t="shared" si="3"/>
        <v>0.53846153846153832</v>
      </c>
    </row>
    <row r="57" spans="1:7" x14ac:dyDescent="0.25">
      <c r="C57" s="4" t="s">
        <v>9</v>
      </c>
      <c r="D57" t="s">
        <v>40</v>
      </c>
      <c r="F57" s="6">
        <v>0.35</v>
      </c>
      <c r="G57" s="7">
        <f t="shared" si="3"/>
        <v>0.53846153846153832</v>
      </c>
    </row>
    <row r="58" spans="1:7" x14ac:dyDescent="0.25">
      <c r="C58" s="4" t="s">
        <v>9</v>
      </c>
      <c r="D58" t="s">
        <v>41</v>
      </c>
      <c r="F58" s="6">
        <v>0.35</v>
      </c>
      <c r="G58" s="7">
        <f t="shared" si="3"/>
        <v>0.53846153846153832</v>
      </c>
    </row>
    <row r="59" spans="1:7" x14ac:dyDescent="0.25">
      <c r="C59" s="4" t="s">
        <v>9</v>
      </c>
      <c r="D59" t="s">
        <v>42</v>
      </c>
      <c r="F59" s="6">
        <v>0.35</v>
      </c>
      <c r="G59" s="7">
        <f t="shared" si="3"/>
        <v>0.53846153846153832</v>
      </c>
    </row>
    <row r="60" spans="1:7" x14ac:dyDescent="0.25">
      <c r="C60" s="4" t="s">
        <v>9</v>
      </c>
      <c r="D60" t="s">
        <v>43</v>
      </c>
      <c r="F60" s="6">
        <v>0.35</v>
      </c>
      <c r="G60" s="7">
        <f t="shared" si="3"/>
        <v>0.53846153846153832</v>
      </c>
    </row>
    <row r="61" spans="1:7" x14ac:dyDescent="0.25">
      <c r="C61" s="4" t="s">
        <v>9</v>
      </c>
      <c r="D61" t="s">
        <v>44</v>
      </c>
      <c r="F61" s="6">
        <v>0.25</v>
      </c>
      <c r="G61" s="7">
        <f t="shared" si="3"/>
        <v>0.33333333333333326</v>
      </c>
    </row>
    <row r="62" spans="1:7" x14ac:dyDescent="0.25">
      <c r="C62" s="4" t="s">
        <v>9</v>
      </c>
      <c r="D62" t="s">
        <v>45</v>
      </c>
      <c r="F62" s="6">
        <v>0.35</v>
      </c>
      <c r="G62" s="7">
        <f t="shared" si="3"/>
        <v>0.53846153846153832</v>
      </c>
    </row>
    <row r="63" spans="1:7" x14ac:dyDescent="0.25">
      <c r="C63" s="4" t="s">
        <v>9</v>
      </c>
      <c r="D63" t="s">
        <v>46</v>
      </c>
      <c r="F63" s="6">
        <v>0.35</v>
      </c>
      <c r="G63" s="7">
        <f t="shared" si="3"/>
        <v>0.53846153846153832</v>
      </c>
    </row>
    <row r="64" spans="1:7" x14ac:dyDescent="0.25">
      <c r="C64" s="4" t="s">
        <v>9</v>
      </c>
      <c r="D64" t="s">
        <v>47</v>
      </c>
      <c r="F64" s="6">
        <v>0.25</v>
      </c>
      <c r="G64" s="7">
        <f t="shared" si="3"/>
        <v>0.33333333333333326</v>
      </c>
    </row>
    <row r="65" spans="1:7" x14ac:dyDescent="0.25">
      <c r="C65" s="4" t="s">
        <v>9</v>
      </c>
      <c r="D65" t="s">
        <v>48</v>
      </c>
      <c r="F65" s="6">
        <v>0.25</v>
      </c>
      <c r="G65" s="7">
        <f t="shared" si="3"/>
        <v>0.33333333333333326</v>
      </c>
    </row>
    <row r="66" spans="1:7" x14ac:dyDescent="0.25">
      <c r="C66" s="4" t="s">
        <v>9</v>
      </c>
      <c r="D66" t="s">
        <v>49</v>
      </c>
      <c r="F66" s="6">
        <v>0.35</v>
      </c>
      <c r="G66" s="7">
        <f t="shared" si="3"/>
        <v>0.53846153846153832</v>
      </c>
    </row>
    <row r="67" spans="1:7" x14ac:dyDescent="0.25">
      <c r="C67" s="4" t="s">
        <v>9</v>
      </c>
      <c r="D67" t="s">
        <v>50</v>
      </c>
      <c r="F67" s="6" t="s">
        <v>51</v>
      </c>
      <c r="G67" s="7" t="e">
        <f t="shared" si="3"/>
        <v>#VALUE!</v>
      </c>
    </row>
    <row r="68" spans="1:7" x14ac:dyDescent="0.25">
      <c r="C68" s="4" t="s">
        <v>9</v>
      </c>
      <c r="D68" t="s">
        <v>52</v>
      </c>
      <c r="F68" s="6">
        <v>0.25</v>
      </c>
      <c r="G68" s="7">
        <f t="shared" si="3"/>
        <v>0.33333333333333326</v>
      </c>
    </row>
    <row r="69" spans="1:7" x14ac:dyDescent="0.25">
      <c r="C69" s="4" t="s">
        <v>9</v>
      </c>
      <c r="D69" t="s">
        <v>53</v>
      </c>
      <c r="F69" s="6">
        <v>0.2</v>
      </c>
      <c r="G69" s="7">
        <f t="shared" si="3"/>
        <v>0.25</v>
      </c>
    </row>
    <row r="70" spans="1:7" x14ac:dyDescent="0.25">
      <c r="C70" s="4" t="s">
        <v>9</v>
      </c>
      <c r="D70" s="8" t="s">
        <v>54</v>
      </c>
      <c r="F70" s="6">
        <v>0.35</v>
      </c>
      <c r="G70" s="7">
        <f>1/(1-F70)-1</f>
        <v>0.53846153846153832</v>
      </c>
    </row>
    <row r="71" spans="1:7" x14ac:dyDescent="0.25">
      <c r="C71" s="4" t="s">
        <v>9</v>
      </c>
      <c r="D71" s="12" t="s">
        <v>55</v>
      </c>
      <c r="F71" s="6"/>
      <c r="G71" s="7"/>
    </row>
    <row r="72" spans="1:7" x14ac:dyDescent="0.25">
      <c r="A72" t="s">
        <v>5</v>
      </c>
      <c r="C72" t="s">
        <v>56</v>
      </c>
      <c r="F72" s="3"/>
      <c r="G72" s="10"/>
    </row>
    <row r="73" spans="1:7" x14ac:dyDescent="0.25">
      <c r="C73" s="4" t="s">
        <v>9</v>
      </c>
      <c r="D73" s="13" t="s">
        <v>57</v>
      </c>
      <c r="F73" s="6" t="s">
        <v>13</v>
      </c>
      <c r="G73" s="7" t="e">
        <f>1/(1-F73)-1</f>
        <v>#VALUE!</v>
      </c>
    </row>
    <row r="74" spans="1:7" x14ac:dyDescent="0.25">
      <c r="C74" s="4" t="s">
        <v>9</v>
      </c>
      <c r="D74" t="s">
        <v>58</v>
      </c>
      <c r="F74" s="6">
        <v>0.33</v>
      </c>
      <c r="G74" s="7">
        <f>1/(1-F74)-1</f>
        <v>0.49253731343283591</v>
      </c>
    </row>
    <row r="75" spans="1:7" x14ac:dyDescent="0.25">
      <c r="F75" s="3"/>
      <c r="G75" s="10"/>
    </row>
    <row r="76" spans="1:7" x14ac:dyDescent="0.25">
      <c r="A76" t="s">
        <v>59</v>
      </c>
      <c r="C76" t="s">
        <v>60</v>
      </c>
      <c r="F76" s="3"/>
      <c r="G76" s="10"/>
    </row>
    <row r="77" spans="1:7" x14ac:dyDescent="0.25">
      <c r="C77" s="4" t="s">
        <v>9</v>
      </c>
      <c r="D77" t="s">
        <v>61</v>
      </c>
      <c r="F77" s="6">
        <v>0.22</v>
      </c>
      <c r="G77" s="7">
        <f t="shared" ref="G77:G101" si="4">1/(1-F77)-1</f>
        <v>0.28205128205128194</v>
      </c>
    </row>
    <row r="78" spans="1:7" x14ac:dyDescent="0.25">
      <c r="C78" s="4" t="s">
        <v>9</v>
      </c>
      <c r="D78" t="s">
        <v>62</v>
      </c>
      <c r="F78" s="6">
        <v>0.22</v>
      </c>
      <c r="G78" s="7">
        <f t="shared" si="4"/>
        <v>0.28205128205128194</v>
      </c>
    </row>
    <row r="79" spans="1:7" x14ac:dyDescent="0.25">
      <c r="C79" s="4" t="s">
        <v>9</v>
      </c>
      <c r="D79" t="s">
        <v>63</v>
      </c>
      <c r="F79" s="6">
        <v>0.22</v>
      </c>
      <c r="G79" s="7">
        <f t="shared" si="4"/>
        <v>0.28205128205128194</v>
      </c>
    </row>
    <row r="80" spans="1:7" x14ac:dyDescent="0.25">
      <c r="C80" s="4" t="s">
        <v>9</v>
      </c>
      <c r="D80" t="s">
        <v>64</v>
      </c>
      <c r="F80" s="6">
        <v>0.25</v>
      </c>
      <c r="G80" s="7">
        <f t="shared" si="4"/>
        <v>0.33333333333333326</v>
      </c>
    </row>
    <row r="81" spans="3:7" x14ac:dyDescent="0.25">
      <c r="C81" s="4" t="s">
        <v>9</v>
      </c>
      <c r="D81" t="s">
        <v>65</v>
      </c>
      <c r="F81" s="6">
        <v>0.22</v>
      </c>
      <c r="G81" s="7">
        <f t="shared" si="4"/>
        <v>0.28205128205128194</v>
      </c>
    </row>
    <row r="82" spans="3:7" x14ac:dyDescent="0.25">
      <c r="C82" s="4" t="s">
        <v>9</v>
      </c>
      <c r="D82" t="s">
        <v>66</v>
      </c>
      <c r="F82" s="6">
        <v>0.22</v>
      </c>
      <c r="G82" s="7">
        <f t="shared" si="4"/>
        <v>0.28205128205128194</v>
      </c>
    </row>
    <row r="83" spans="3:7" x14ac:dyDescent="0.25">
      <c r="C83" s="4" t="s">
        <v>9</v>
      </c>
      <c r="D83" s="13" t="s">
        <v>67</v>
      </c>
      <c r="F83" s="6">
        <v>0.22</v>
      </c>
      <c r="G83" s="7">
        <f t="shared" si="4"/>
        <v>0.28205128205128194</v>
      </c>
    </row>
    <row r="84" spans="3:7" x14ac:dyDescent="0.25">
      <c r="C84" s="4" t="s">
        <v>9</v>
      </c>
      <c r="D84" s="13" t="s">
        <v>68</v>
      </c>
      <c r="F84" s="6">
        <v>0.25</v>
      </c>
      <c r="G84" s="7">
        <f t="shared" si="4"/>
        <v>0.33333333333333326</v>
      </c>
    </row>
    <row r="85" spans="3:7" x14ac:dyDescent="0.25">
      <c r="C85" s="4" t="s">
        <v>9</v>
      </c>
      <c r="D85" s="14" t="s">
        <v>69</v>
      </c>
      <c r="F85" s="6">
        <v>0.25</v>
      </c>
      <c r="G85" s="7">
        <f t="shared" si="4"/>
        <v>0.33333333333333326</v>
      </c>
    </row>
    <row r="86" spans="3:7" x14ac:dyDescent="0.25">
      <c r="C86" s="4" t="s">
        <v>9</v>
      </c>
      <c r="D86" t="s">
        <v>24</v>
      </c>
      <c r="F86" s="6">
        <v>0.25</v>
      </c>
      <c r="G86" s="7">
        <f t="shared" si="4"/>
        <v>0.33333333333333326</v>
      </c>
    </row>
    <row r="87" spans="3:7" x14ac:dyDescent="0.25">
      <c r="C87" s="4" t="s">
        <v>9</v>
      </c>
      <c r="D87" s="14" t="s">
        <v>70</v>
      </c>
      <c r="F87" s="6">
        <v>0.25</v>
      </c>
      <c r="G87" s="7">
        <f t="shared" si="4"/>
        <v>0.33333333333333326</v>
      </c>
    </row>
    <row r="88" spans="3:7" x14ac:dyDescent="0.25">
      <c r="C88" s="4" t="s">
        <v>9</v>
      </c>
      <c r="D88" s="13" t="s">
        <v>57</v>
      </c>
      <c r="F88" s="6">
        <v>0.25</v>
      </c>
      <c r="G88" s="7">
        <f t="shared" si="4"/>
        <v>0.33333333333333326</v>
      </c>
    </row>
    <row r="89" spans="3:7" x14ac:dyDescent="0.25">
      <c r="C89" s="4" t="s">
        <v>9</v>
      </c>
      <c r="D89" t="s">
        <v>71</v>
      </c>
      <c r="F89" s="6">
        <v>0.22</v>
      </c>
      <c r="G89" s="7">
        <f t="shared" si="4"/>
        <v>0.28205128205128194</v>
      </c>
    </row>
    <row r="90" spans="3:7" x14ac:dyDescent="0.25">
      <c r="C90" s="4" t="s">
        <v>9</v>
      </c>
      <c r="D90" t="s">
        <v>72</v>
      </c>
      <c r="F90" s="6">
        <v>0.25</v>
      </c>
      <c r="G90" s="7">
        <f t="shared" si="4"/>
        <v>0.33333333333333326</v>
      </c>
    </row>
    <row r="91" spans="3:7" x14ac:dyDescent="0.25">
      <c r="C91" s="4" t="s">
        <v>9</v>
      </c>
      <c r="D91" t="s">
        <v>73</v>
      </c>
      <c r="F91" s="6">
        <v>0.25</v>
      </c>
      <c r="G91" s="7">
        <f t="shared" si="4"/>
        <v>0.33333333333333326</v>
      </c>
    </row>
    <row r="92" spans="3:7" x14ac:dyDescent="0.25">
      <c r="C92" s="4" t="s">
        <v>9</v>
      </c>
      <c r="D92" t="s">
        <v>74</v>
      </c>
      <c r="F92" s="6">
        <v>0.22</v>
      </c>
      <c r="G92" s="7">
        <f t="shared" si="4"/>
        <v>0.28205128205128194</v>
      </c>
    </row>
    <row r="93" spans="3:7" x14ac:dyDescent="0.25">
      <c r="C93" s="4" t="s">
        <v>9</v>
      </c>
      <c r="D93" t="s">
        <v>75</v>
      </c>
      <c r="F93" s="6">
        <v>0.25</v>
      </c>
      <c r="G93" s="7">
        <f t="shared" si="4"/>
        <v>0.33333333333333326</v>
      </c>
    </row>
    <row r="94" spans="3:7" x14ac:dyDescent="0.25">
      <c r="C94" s="4" t="s">
        <v>9</v>
      </c>
      <c r="D94" t="s">
        <v>76</v>
      </c>
      <c r="F94" s="6" t="s">
        <v>51</v>
      </c>
      <c r="G94" s="7" t="e">
        <f t="shared" si="4"/>
        <v>#VALUE!</v>
      </c>
    </row>
    <row r="95" spans="3:7" x14ac:dyDescent="0.25">
      <c r="C95" s="4" t="s">
        <v>9</v>
      </c>
      <c r="D95" t="s">
        <v>52</v>
      </c>
      <c r="F95" s="6">
        <v>0.25</v>
      </c>
      <c r="G95" s="7">
        <f t="shared" si="4"/>
        <v>0.33333333333333326</v>
      </c>
    </row>
    <row r="96" spans="3:7" x14ac:dyDescent="0.25">
      <c r="C96" s="4" t="s">
        <v>9</v>
      </c>
      <c r="D96" s="13" t="s">
        <v>77</v>
      </c>
      <c r="F96" s="6">
        <v>0.25</v>
      </c>
      <c r="G96" s="7">
        <f t="shared" si="4"/>
        <v>0.33333333333333326</v>
      </c>
    </row>
    <row r="97" spans="1:7" x14ac:dyDescent="0.25">
      <c r="C97" s="4" t="s">
        <v>9</v>
      </c>
      <c r="D97" t="s">
        <v>78</v>
      </c>
      <c r="F97" s="6">
        <v>0.22</v>
      </c>
      <c r="G97" s="7">
        <f t="shared" si="4"/>
        <v>0.28205128205128194</v>
      </c>
    </row>
    <row r="98" spans="1:7" x14ac:dyDescent="0.25">
      <c r="C98" s="4" t="s">
        <v>9</v>
      </c>
      <c r="D98" t="s">
        <v>79</v>
      </c>
      <c r="F98" s="6" t="s">
        <v>13</v>
      </c>
      <c r="G98" s="7" t="e">
        <f t="shared" si="4"/>
        <v>#VALUE!</v>
      </c>
    </row>
    <row r="99" spans="1:7" x14ac:dyDescent="0.25">
      <c r="C99" s="4" t="s">
        <v>9</v>
      </c>
      <c r="D99" t="s">
        <v>80</v>
      </c>
      <c r="F99" s="6" t="s">
        <v>13</v>
      </c>
      <c r="G99" s="7" t="e">
        <f t="shared" si="4"/>
        <v>#VALUE!</v>
      </c>
    </row>
    <row r="100" spans="1:7" x14ac:dyDescent="0.25">
      <c r="C100" s="4" t="s">
        <v>9</v>
      </c>
      <c r="D100" t="s">
        <v>81</v>
      </c>
      <c r="F100" s="6" t="s">
        <v>13</v>
      </c>
      <c r="G100" s="7" t="e">
        <f t="shared" si="4"/>
        <v>#VALUE!</v>
      </c>
    </row>
    <row r="101" spans="1:7" x14ac:dyDescent="0.25">
      <c r="C101" s="4" t="s">
        <v>9</v>
      </c>
      <c r="D101" t="s">
        <v>82</v>
      </c>
      <c r="F101" s="6">
        <v>0.22</v>
      </c>
      <c r="G101" s="7">
        <f t="shared" si="4"/>
        <v>0.28205128205128194</v>
      </c>
    </row>
    <row r="102" spans="1:7" x14ac:dyDescent="0.25">
      <c r="F102" s="3"/>
      <c r="G102" s="10"/>
    </row>
    <row r="103" spans="1:7" x14ac:dyDescent="0.25">
      <c r="A103" t="s">
        <v>59</v>
      </c>
      <c r="C103" t="s">
        <v>83</v>
      </c>
      <c r="F103" s="3"/>
      <c r="G103" s="10"/>
    </row>
    <row r="104" spans="1:7" x14ac:dyDescent="0.25">
      <c r="C104" s="4"/>
      <c r="D104" s="15" t="s">
        <v>58</v>
      </c>
      <c r="F104" s="6"/>
      <c r="G104" s="7"/>
    </row>
    <row r="105" spans="1:7" x14ac:dyDescent="0.25">
      <c r="C105" s="4" t="s">
        <v>9</v>
      </c>
      <c r="D105" t="s">
        <v>84</v>
      </c>
      <c r="F105" s="6">
        <v>0.2</v>
      </c>
      <c r="G105" s="7">
        <f t="shared" ref="G105:G122" si="5">1/(1-F105)-1</f>
        <v>0.25</v>
      </c>
    </row>
    <row r="106" spans="1:7" x14ac:dyDescent="0.25">
      <c r="C106" s="4" t="s">
        <v>9</v>
      </c>
      <c r="D106" t="s">
        <v>85</v>
      </c>
      <c r="F106" s="6">
        <v>0.2</v>
      </c>
      <c r="G106" s="7">
        <f t="shared" si="5"/>
        <v>0.25</v>
      </c>
    </row>
    <row r="107" spans="1:7" x14ac:dyDescent="0.25">
      <c r="C107" s="4" t="s">
        <v>9</v>
      </c>
      <c r="D107" t="s">
        <v>86</v>
      </c>
      <c r="F107" s="6">
        <v>0.2</v>
      </c>
      <c r="G107" s="7">
        <f t="shared" si="5"/>
        <v>0.25</v>
      </c>
    </row>
    <row r="108" spans="1:7" x14ac:dyDescent="0.25">
      <c r="C108" s="4" t="s">
        <v>9</v>
      </c>
      <c r="D108" t="s">
        <v>61</v>
      </c>
      <c r="F108" s="6">
        <v>0.2</v>
      </c>
      <c r="G108" s="7">
        <f t="shared" si="5"/>
        <v>0.25</v>
      </c>
    </row>
    <row r="109" spans="1:7" x14ac:dyDescent="0.25">
      <c r="C109" s="4" t="s">
        <v>9</v>
      </c>
      <c r="D109" t="s">
        <v>62</v>
      </c>
      <c r="F109" s="6">
        <v>0.2</v>
      </c>
      <c r="G109" s="7">
        <f t="shared" si="5"/>
        <v>0.25</v>
      </c>
    </row>
    <row r="110" spans="1:7" x14ac:dyDescent="0.25">
      <c r="C110" s="4" t="s">
        <v>9</v>
      </c>
      <c r="D110" t="s">
        <v>63</v>
      </c>
      <c r="F110" s="6">
        <v>0.2</v>
      </c>
      <c r="G110" s="7">
        <f t="shared" si="5"/>
        <v>0.25</v>
      </c>
    </row>
    <row r="111" spans="1:7" x14ac:dyDescent="0.25">
      <c r="C111" s="4" t="s">
        <v>9</v>
      </c>
      <c r="D111" t="s">
        <v>87</v>
      </c>
      <c r="F111" s="6">
        <v>0.2</v>
      </c>
      <c r="G111" s="7">
        <f t="shared" si="5"/>
        <v>0.25</v>
      </c>
    </row>
    <row r="112" spans="1:7" x14ac:dyDescent="0.25">
      <c r="C112" s="4" t="s">
        <v>9</v>
      </c>
      <c r="D112" s="14" t="s">
        <v>88</v>
      </c>
      <c r="F112" s="6">
        <v>0.2</v>
      </c>
      <c r="G112" s="7">
        <f t="shared" si="5"/>
        <v>0.25</v>
      </c>
    </row>
    <row r="113" spans="1:7" x14ac:dyDescent="0.25">
      <c r="C113" s="4" t="s">
        <v>9</v>
      </c>
      <c r="D113" t="s">
        <v>24</v>
      </c>
      <c r="F113" s="6">
        <v>0.2</v>
      </c>
      <c r="G113" s="7">
        <f t="shared" si="5"/>
        <v>0.25</v>
      </c>
    </row>
    <row r="114" spans="1:7" x14ac:dyDescent="0.25">
      <c r="C114" s="4" t="s">
        <v>9</v>
      </c>
      <c r="D114" s="14" t="s">
        <v>89</v>
      </c>
      <c r="F114" s="6">
        <v>0.2</v>
      </c>
      <c r="G114" s="7">
        <f t="shared" si="5"/>
        <v>0.25</v>
      </c>
    </row>
    <row r="115" spans="1:7" x14ac:dyDescent="0.25">
      <c r="C115" s="4" t="s">
        <v>9</v>
      </c>
      <c r="D115" s="13" t="s">
        <v>57</v>
      </c>
      <c r="F115" s="6" t="s">
        <v>13</v>
      </c>
      <c r="G115" s="7" t="e">
        <f t="shared" si="5"/>
        <v>#VALUE!</v>
      </c>
    </row>
    <row r="116" spans="1:7" x14ac:dyDescent="0.25">
      <c r="C116" s="4" t="s">
        <v>9</v>
      </c>
      <c r="D116" s="14" t="s">
        <v>90</v>
      </c>
      <c r="F116" s="6">
        <v>0.2</v>
      </c>
      <c r="G116" s="7">
        <f t="shared" si="5"/>
        <v>0.25</v>
      </c>
    </row>
    <row r="117" spans="1:7" x14ac:dyDescent="0.25">
      <c r="C117" s="4" t="s">
        <v>9</v>
      </c>
      <c r="D117" t="s">
        <v>71</v>
      </c>
      <c r="F117" s="6">
        <v>0.2</v>
      </c>
      <c r="G117" s="7">
        <f t="shared" si="5"/>
        <v>0.25</v>
      </c>
    </row>
    <row r="118" spans="1:7" x14ac:dyDescent="0.25">
      <c r="C118" s="4" t="s">
        <v>9</v>
      </c>
      <c r="D118" t="s">
        <v>91</v>
      </c>
      <c r="F118" s="6">
        <v>0.2</v>
      </c>
      <c r="G118" s="7">
        <f t="shared" si="5"/>
        <v>0.25</v>
      </c>
    </row>
    <row r="119" spans="1:7" x14ac:dyDescent="0.25">
      <c r="C119" s="4" t="s">
        <v>9</v>
      </c>
      <c r="D119" t="s">
        <v>92</v>
      </c>
      <c r="F119" s="6">
        <v>0.2</v>
      </c>
      <c r="G119" s="7">
        <f t="shared" si="5"/>
        <v>0.25</v>
      </c>
    </row>
    <row r="120" spans="1:7" x14ac:dyDescent="0.25">
      <c r="C120" s="4" t="s">
        <v>9</v>
      </c>
      <c r="D120" t="s">
        <v>93</v>
      </c>
      <c r="F120" s="6">
        <v>0.2</v>
      </c>
      <c r="G120" s="7">
        <f t="shared" si="5"/>
        <v>0.25</v>
      </c>
    </row>
    <row r="121" spans="1:7" x14ac:dyDescent="0.25">
      <c r="C121" s="4" t="s">
        <v>9</v>
      </c>
      <c r="D121" s="14" t="s">
        <v>94</v>
      </c>
      <c r="F121" s="6">
        <v>0.2</v>
      </c>
      <c r="G121" s="7">
        <f t="shared" si="5"/>
        <v>0.25</v>
      </c>
    </row>
    <row r="122" spans="1:7" x14ac:dyDescent="0.25">
      <c r="C122" s="4" t="s">
        <v>9</v>
      </c>
      <c r="D122" s="14" t="s">
        <v>95</v>
      </c>
      <c r="F122" s="6">
        <v>0.2</v>
      </c>
      <c r="G122" s="7">
        <f t="shared" si="5"/>
        <v>0.25</v>
      </c>
    </row>
    <row r="123" spans="1:7" x14ac:dyDescent="0.25">
      <c r="F123" s="3"/>
      <c r="G123" s="10"/>
    </row>
    <row r="124" spans="1:7" x14ac:dyDescent="0.25">
      <c r="A124" t="s">
        <v>59</v>
      </c>
      <c r="C124" t="s">
        <v>96</v>
      </c>
      <c r="F124" s="3"/>
      <c r="G124" s="10"/>
    </row>
    <row r="125" spans="1:7" x14ac:dyDescent="0.25">
      <c r="C125" s="4" t="s">
        <v>9</v>
      </c>
      <c r="D125" s="14" t="s">
        <v>97</v>
      </c>
      <c r="F125" s="6">
        <v>0.2</v>
      </c>
      <c r="G125" s="7">
        <f>1/(1-F125)-1</f>
        <v>0.25</v>
      </c>
    </row>
    <row r="126" spans="1:7" x14ac:dyDescent="0.25">
      <c r="C126" s="4" t="s">
        <v>9</v>
      </c>
      <c r="D126" s="14" t="s">
        <v>98</v>
      </c>
      <c r="F126" s="6">
        <v>0.2</v>
      </c>
      <c r="G126" s="7">
        <f>1/(1-F126)-1</f>
        <v>0.25</v>
      </c>
    </row>
    <row r="127" spans="1:7" x14ac:dyDescent="0.25">
      <c r="C127" s="4" t="s">
        <v>9</v>
      </c>
      <c r="D127" t="s">
        <v>44</v>
      </c>
      <c r="F127" s="6">
        <v>0.25</v>
      </c>
      <c r="G127" s="7">
        <f>1/(1-F127)-1</f>
        <v>0.33333333333333326</v>
      </c>
    </row>
    <row r="128" spans="1:7" x14ac:dyDescent="0.25">
      <c r="F128" s="3"/>
      <c r="G128" s="10"/>
    </row>
    <row r="129" spans="3:7" x14ac:dyDescent="0.25">
      <c r="F129" s="3"/>
      <c r="G129" s="10"/>
    </row>
    <row r="130" spans="3:7" x14ac:dyDescent="0.25">
      <c r="C130" t="s">
        <v>99</v>
      </c>
      <c r="F130" s="3"/>
      <c r="G130" s="10"/>
    </row>
    <row r="131" spans="3:7" x14ac:dyDescent="0.25">
      <c r="C131" s="4" t="s">
        <v>9</v>
      </c>
      <c r="D131" t="s">
        <v>35</v>
      </c>
      <c r="F131" s="11">
        <v>0.36499999999999999</v>
      </c>
      <c r="G131" s="7">
        <f t="shared" ref="G131:G139" si="6">1/(1-F131)-1</f>
        <v>0.57480314960629908</v>
      </c>
    </row>
    <row r="132" spans="3:7" x14ac:dyDescent="0.25">
      <c r="C132" s="4" t="s">
        <v>9</v>
      </c>
      <c r="D132" t="s">
        <v>100</v>
      </c>
      <c r="F132" s="6">
        <v>0.4</v>
      </c>
      <c r="G132" s="7">
        <f t="shared" si="6"/>
        <v>0.66666666666666674</v>
      </c>
    </row>
    <row r="133" spans="3:7" x14ac:dyDescent="0.25">
      <c r="C133" s="4" t="s">
        <v>9</v>
      </c>
      <c r="D133" t="s">
        <v>101</v>
      </c>
      <c r="F133" s="6">
        <v>0.4</v>
      </c>
      <c r="G133" s="7">
        <f t="shared" si="6"/>
        <v>0.66666666666666674</v>
      </c>
    </row>
    <row r="134" spans="3:7" x14ac:dyDescent="0.25">
      <c r="C134" s="4" t="s">
        <v>9</v>
      </c>
      <c r="D134" t="s">
        <v>102</v>
      </c>
      <c r="F134" s="6">
        <v>0.4</v>
      </c>
      <c r="G134" s="7">
        <f t="shared" si="6"/>
        <v>0.66666666666666674</v>
      </c>
    </row>
    <row r="135" spans="3:7" x14ac:dyDescent="0.25">
      <c r="C135" s="4" t="s">
        <v>9</v>
      </c>
      <c r="D135" t="s">
        <v>103</v>
      </c>
      <c r="F135" s="6">
        <v>0.4</v>
      </c>
      <c r="G135" s="7">
        <f t="shared" si="6"/>
        <v>0.66666666666666674</v>
      </c>
    </row>
    <row r="136" spans="3:7" x14ac:dyDescent="0.25">
      <c r="C136" s="4" t="s">
        <v>9</v>
      </c>
      <c r="D136" t="s">
        <v>104</v>
      </c>
      <c r="F136" s="6">
        <v>0.35</v>
      </c>
      <c r="G136" s="7">
        <f t="shared" si="6"/>
        <v>0.53846153846153832</v>
      </c>
    </row>
    <row r="137" spans="3:7" x14ac:dyDescent="0.25">
      <c r="C137" s="4" t="s">
        <v>9</v>
      </c>
      <c r="D137" t="s">
        <v>105</v>
      </c>
      <c r="F137" s="6">
        <v>0.35</v>
      </c>
      <c r="G137" s="7">
        <f t="shared" si="6"/>
        <v>0.53846153846153832</v>
      </c>
    </row>
    <row r="138" spans="3:7" x14ac:dyDescent="0.25">
      <c r="C138" s="4" t="s">
        <v>9</v>
      </c>
      <c r="D138" t="s">
        <v>106</v>
      </c>
      <c r="F138" s="6">
        <v>0.35</v>
      </c>
      <c r="G138" s="7">
        <f t="shared" si="6"/>
        <v>0.53846153846153832</v>
      </c>
    </row>
    <row r="139" spans="3:7" x14ac:dyDescent="0.25">
      <c r="C139" s="4" t="s">
        <v>9</v>
      </c>
      <c r="D139" t="s">
        <v>44</v>
      </c>
      <c r="F139" s="6">
        <v>0.25</v>
      </c>
      <c r="G139" s="7">
        <f t="shared" si="6"/>
        <v>0.33333333333333326</v>
      </c>
    </row>
    <row r="140" spans="3:7" x14ac:dyDescent="0.25">
      <c r="F140" s="3"/>
      <c r="G140" s="3"/>
    </row>
    <row r="141" spans="3:7" x14ac:dyDescent="0.25">
      <c r="C141" t="s">
        <v>107</v>
      </c>
      <c r="F141" s="3"/>
      <c r="G141" s="10"/>
    </row>
    <row r="142" spans="3:7" x14ac:dyDescent="0.25">
      <c r="C142" s="4" t="s">
        <v>9</v>
      </c>
      <c r="D142" t="s">
        <v>107</v>
      </c>
      <c r="F142" s="6">
        <v>0.25</v>
      </c>
      <c r="G142" s="7">
        <f>1/(1-F142)-1</f>
        <v>0.33333333333333326</v>
      </c>
    </row>
  </sheetData>
  <mergeCells count="2"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Forinash</dc:creator>
  <cp:lastModifiedBy>Aaron Forinash</cp:lastModifiedBy>
  <dcterms:created xsi:type="dcterms:W3CDTF">2025-12-15T21:08:43Z</dcterms:created>
  <dcterms:modified xsi:type="dcterms:W3CDTF">2025-12-15T21:09:41Z</dcterms:modified>
</cp:coreProperties>
</file>